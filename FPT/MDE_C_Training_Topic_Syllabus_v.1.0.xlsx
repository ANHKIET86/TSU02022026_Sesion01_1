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https://fptsoftware362-my.sharepoint.com/personal/senna_fpt_com/Documents/Nguyen Anh Sen/"/>
    </mc:Choice>
  </mc:AlternateContent>
  <xr:revisionPtr revIDLastSave="77" documentId="8_{CF407494-8C78-4B3B-AF04-45A0BFB1D1FA}" xr6:coauthVersionLast="47" xr6:coauthVersionMax="47" xr10:uidLastSave="{26966454-42E8-47DA-A372-634B8364A2EA}"/>
  <bookViews>
    <workbookView xWindow="-120" yWindow="-120" windowWidth="20730" windowHeight="11040" tabRatio="500" firstSheet="1" activeTab="1" xr2:uid="{00000000-000D-0000-FFFF-FFFF00000000}"/>
  </bookViews>
  <sheets>
    <sheet name="Summary" sheetId="6" r:id="rId1"/>
    <sheet name="C_Base" sheetId="14" r:id="rId2"/>
  </sheets>
  <definedNames>
    <definedName name="_xlnm._FilterDatabase" localSheetId="1" hidden="1">C_Base!$A$2:$I$11</definedName>
    <definedName name="Excel_BuiltIn__FilterDatabase" localSheetId="1">C_Base!$A$2:$I$11</definedName>
    <definedName name="Excel_BuiltIn__FilterDatabase">#REF!</definedName>
    <definedName name="_xlnm.Print_Area" localSheetId="0">Summary!$A$1:$F$7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4" l="1"/>
  <c r="H19" i="14" s="1"/>
  <c r="G18" i="14"/>
  <c r="H18" i="14" s="1"/>
  <c r="G17" i="14"/>
  <c r="H17" i="14" s="1"/>
  <c r="G16" i="14"/>
  <c r="H16" i="14" s="1"/>
  <c r="G15" i="14"/>
  <c r="H15" i="14" s="1"/>
  <c r="G14" i="14"/>
  <c r="G20" i="14" l="1"/>
  <c r="H20" i="14" s="1"/>
  <c r="E4" i="6" s="1"/>
  <c r="H14" i="14"/>
  <c r="E5" i="6" l="1"/>
</calcChain>
</file>

<file path=xl/sharedStrings.xml><?xml version="1.0" encoding="utf-8"?>
<sst xmlns="http://schemas.openxmlformats.org/spreadsheetml/2006/main" count="89" uniqueCount="67">
  <si>
    <t>#</t>
  </si>
  <si>
    <t>Training category</t>
  </si>
  <si>
    <t>Description</t>
  </si>
  <si>
    <t>Estimated Effort (Day)</t>
  </si>
  <si>
    <t>Remarks</t>
  </si>
  <si>
    <t>C/C++ base</t>
  </si>
  <si>
    <t>Kiến thức C/C++ cơ bản</t>
  </si>
  <si>
    <t>Total (Month)</t>
  </si>
  <si>
    <t>GMG C/C++ fresher training syllabus</t>
    <phoneticPr fontId="11"/>
  </si>
  <si>
    <t>Training Unit/Chapter</t>
  </si>
  <si>
    <t>Day</t>
  </si>
  <si>
    <t>Lecture</t>
  </si>
  <si>
    <t>Content</t>
  </si>
  <si>
    <t>Learning Objectives</t>
  </si>
  <si>
    <t>Delivery Type</t>
  </si>
  <si>
    <t>Duration (Hours)</t>
  </si>
  <si>
    <t>Training Format</t>
  </si>
  <si>
    <t>Training Materials / Logistics &amp; General Notes
(Required, For Reference, etc.)</t>
  </si>
  <si>
    <t>Day1+2</t>
  </si>
  <si>
    <t>Lecture 1</t>
  </si>
  <si>
    <t>C</t>
  </si>
  <si>
    <t>1. Basic Structure of C Programs
- Structure of a C Program
- Header Files and Pre-processor Directives
- Writing and Running First C Program
2. Data Types, Variables, and Constants
- Primitive Data Types: int, float, char, double
- Derived Data Types: arrays, structures, unions, pointers
- Variable Declaration, Initialization, and Scope
- Constants: Numeric, Character, String Constants</t>
  </si>
  <si>
    <t>Concept/Lecture</t>
  </si>
  <si>
    <t>Offline</t>
  </si>
  <si>
    <t>https://www.wscubetech.com/resources/c-programming/basics
https://www.wscubetech.com/resources/c-programming/first-program
https://www.wscubetech.com/resources/c-programming/structure
https://www.wscubetech.com/resources/c-programming/data-types
https://www.wscubetech.com/resources/c-programming/variables
https://www.wscubetech.com/resources/c-programming/constants</t>
  </si>
  <si>
    <t>https://www.w3schools.blog/first-c-program
https://www.w3schools.blog/flow-of-c-program 
https://www.w3schools.blog/variables-in-c
https://www.w3schools.blog/c-constants
https://www.w3schools.blog/data-types-in-c</t>
  </si>
  <si>
    <t>Lecture 2</t>
  </si>
  <si>
    <r>
      <rPr>
        <b/>
        <sz val="10"/>
        <rFont val="Arial"/>
        <family val="2"/>
      </rPr>
      <t>3. Operators and Expressions</t>
    </r>
    <r>
      <rPr>
        <sz val="10"/>
        <rFont val="Arial"/>
        <family val="2"/>
      </rPr>
      <t xml:space="preserve">
- Arithmetic Operators
- Relational and Logical Operators
- Assignment Operators
- Increment and Decrement Operators
- Bitwise Operators</t>
    </r>
  </si>
  <si>
    <t>https://www.wscubetech.com/resources/c-programming/operators
https://www.wscubetech.com/resources/c-programming/comments
https://www.wscubetech.com/resources/c-programming/arithmetic-operators</t>
  </si>
  <si>
    <t>https://www.w3schools.blog/c-operators
https://www.w3schools.blog/c-comments
https://www.w3schools.blog/c-escape-sequence</t>
  </si>
  <si>
    <t>Day3+4</t>
  </si>
  <si>
    <t>Lecture 3</t>
  </si>
  <si>
    <r>
      <rPr>
        <b/>
        <sz val="10"/>
        <rFont val="Arial"/>
        <family val="2"/>
      </rPr>
      <t>4. Control Flow Statements</t>
    </r>
    <r>
      <rPr>
        <sz val="10"/>
        <rFont val="Arial"/>
        <family val="2"/>
      </rPr>
      <t xml:space="preserve">
- Conditional Statements: if, else-if, else
- Switch Case Statements
- Loops: for, while, do-while
- Break and Continue Statements</t>
    </r>
  </si>
  <si>
    <t>https://www.wscubetech.com/resources/c-programming/control-statements</t>
  </si>
  <si>
    <t>https://www.w3schools.blog/c-if-else
https://www.w3schools.blog/c-switch
https://www.w3schools.blog/c-for-loop
https://www.w3schools.blog/c-while-loop
https://www.w3schools.blog/c-do-while-loop
https://www.w3schools.blog/c-break
https://www.w3schools.blog/c-continue
https://www.w3schools.blog/c-goto</t>
  </si>
  <si>
    <t>Lecture 4</t>
  </si>
  <si>
    <r>
      <rPr>
        <b/>
        <sz val="10"/>
        <rFont val="Arial"/>
        <family val="2"/>
      </rPr>
      <t>5. Functions and Modular Programming</t>
    </r>
    <r>
      <rPr>
        <sz val="10"/>
        <rFont val="Arial"/>
        <family val="2"/>
      </rPr>
      <t xml:space="preserve">
- Function Definition and Declaration
- Function Arguments and Return Values
- Function Prototypes and Scope
- Recursion and Recursive Functions</t>
    </r>
  </si>
  <si>
    <t>https://www.wscubetech.com/resources/c-programming/functions</t>
  </si>
  <si>
    <t>https://www.w3schools.blog/c-functions
https://www.w3schools.blog/c-call-value-reference
https://www.w3schools.blog/c-call-value-reference
https://www.w3schools.blog/recursion-in-c
https://www.w3schools.blog/c-storage-classes</t>
  </si>
  <si>
    <t>Day5+6</t>
  </si>
  <si>
    <t>Lecture 5</t>
  </si>
  <si>
    <r>
      <rPr>
        <b/>
        <sz val="10"/>
        <rFont val="Arial"/>
        <family val="2"/>
      </rPr>
      <t>6. Arrays and Strings</t>
    </r>
    <r>
      <rPr>
        <sz val="10"/>
        <rFont val="Arial"/>
        <family val="2"/>
      </rPr>
      <t xml:space="preserve">
- Array Declaration, Initialization, and Manipulation
- Multi-dimensional Arrays
- Character Arrays and String Operations
- String Handling Functions</t>
    </r>
  </si>
  <si>
    <t>https://www.wscubetech.com/resources/c-programming/arrays</t>
  </si>
  <si>
    <t>https://www.w3schools.blog/c-1-d-array
https://www.w3schools.blog/c-multi-dimensional-array
https://www.w3schools.blog/c-array-to-function
https://www.w3schools.blog/string-in-c
https://www.w3schools.blog/c-gets-puts
https://www.w3schools.blog/c-string-functions
https://www.w3schools.blog/c-strlen
https://www.w3schools.blog/c-strcpy
https://www.w3schools.blog/c-strcat
https://www.w3schools.blog/c-strcmp
https://www.w3schools.blog/c-strrev
https://www.w3schools.blog/c-strlwr
https://www.w3schools.blog/c-strupr
https://www.w3schools.blog/c-strstr</t>
  </si>
  <si>
    <t>Lecture 6</t>
  </si>
  <si>
    <r>
      <rPr>
        <b/>
        <sz val="10"/>
        <color rgb="FF000000"/>
        <rFont val="Arial"/>
        <family val="2"/>
      </rPr>
      <t xml:space="preserve">7. Structures and Unions
</t>
    </r>
    <r>
      <rPr>
        <sz val="10"/>
        <color rgb="FF000000"/>
        <rFont val="Arial"/>
        <family val="2"/>
      </rPr>
      <t>- Structure Definition and Declaration
- Structure Members, Initialization, and Access
- Nested Structures and Arrays of Structures
- Unions: Definition, Declaration, and Use</t>
    </r>
  </si>
  <si>
    <t>ttps://www.w3schools.blog/c-structure
https://www.w3schools.blog/c-array-of-structures
https://www.w3schools.blog/c-nested-structure
https://www.geeksforgeeks.org/c-unions/</t>
  </si>
  <si>
    <t>Day7+8</t>
  </si>
  <si>
    <t>Lecture 7</t>
  </si>
  <si>
    <r>
      <rPr>
        <b/>
        <sz val="10"/>
        <color rgb="FF000000"/>
        <rFont val="Arial"/>
        <family val="2"/>
      </rPr>
      <t xml:space="preserve">8. Pointers and Memory Management
</t>
    </r>
    <r>
      <rPr>
        <sz val="10"/>
        <color rgb="FF000000"/>
        <rFont val="Arial"/>
        <family val="2"/>
      </rPr>
      <t>- Pointer Basics and Declaration
- Pointer Arithmetic and Arrays
- Dynamic Memory Allocation: malloc(), calloc(), realloc(), free()
- Pointers and Functions
- Pointers and Structures</t>
    </r>
  </si>
  <si>
    <t>https://www.wscubetech.com/resources/c-programming/pointers</t>
  </si>
  <si>
    <t>https://www.w3schools.blog/c-pointers
https://www.w3schools.blog/c-pointer-to-pointer</t>
  </si>
  <si>
    <t>Day9+10</t>
  </si>
  <si>
    <t>Lecture 8</t>
  </si>
  <si>
    <r>
      <rPr>
        <b/>
        <sz val="10"/>
        <color rgb="FF000000"/>
        <rFont val="Arial"/>
        <family val="2"/>
      </rPr>
      <t xml:space="preserve">9. File Handling and I/O Operations
</t>
    </r>
    <r>
      <rPr>
        <sz val="10"/>
        <color rgb="FF000000"/>
        <rFont val="Arial"/>
        <family val="2"/>
      </rPr>
      <t xml:space="preserve">- File Operations: Opening, Reading, Writing, Closing Files
- File Pointers and Operations
- Sequential and Random Access Files
- Standard I/O Functions: fscanf(), fprintf(), fgets(), fputs()
</t>
    </r>
    <r>
      <rPr>
        <b/>
        <sz val="10"/>
        <color rgb="FF000000"/>
        <rFont val="Arial"/>
        <family val="2"/>
      </rPr>
      <t>10. Preprocessor directive statements</t>
    </r>
  </si>
  <si>
    <t>https://www.wscubetech.com/resources/c-programming/file-handling
https://www.wscubetech.com/resources/c-programming/preprocessors</t>
  </si>
  <si>
    <t xml:space="preserve">https://www.w3schools.blog/c-file-handling
https://www.w3schools.blog/c-fprintf-fscanf
https://www.w3schools.blog/c-fputc-fgetc
https://www.w3schools.blog/c-fputs-fgets
https://www.w3schools.blog/c-fseek
https://www.w3schools.blog/c-rewind
https://www.w3schools.blog/c-ftell
https://www.w3schools.blog/c-preprocessor-directives
</t>
  </si>
  <si>
    <t>Day11~</t>
  </si>
  <si>
    <t>Mini Project</t>
  </si>
  <si>
    <t>Assignment/Lab</t>
  </si>
  <si>
    <t>N/A</t>
  </si>
  <si>
    <t>Hour</t>
  </si>
  <si>
    <t>Guides/Review</t>
  </si>
  <si>
    <t>Test/Quiz</t>
  </si>
  <si>
    <t>Exam</t>
  </si>
  <si>
    <t>Seminar/Workshop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</si>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</sst>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\-??_);_(@_)"/>
    <numFmt numFmtId="165" formatCode="0.0"/>
  </numFmts>
  <fonts count="12">
    <font>
      <sz val="10"/>
      <color indexed="8"/>
      <name val="Arial"/>
      <family val="2"/>
    </font>
    <font>
      <sz val="11"/>
      <color theme="1"/>
      <name val="ＭＳ Ｐゴシック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color indexed="8"/>
      <name val="Arial"/>
      <family val="2"/>
    </font>
    <font>
      <u/>
      <sz val="10"/>
      <color theme="10"/>
      <name val="Arial"/>
      <family val="2"/>
    </font>
    <font>
      <sz val="16"/>
      <color theme="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6"/>
      <name val="ＭＳ Ｐ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theme="0"/>
        <bgColor indexed="27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164" fontId="6" fillId="0" borderId="0" applyFill="0" applyBorder="0" applyAlignment="0" applyProtection="0"/>
    <xf numFmtId="164" fontId="6" fillId="0" borderId="0" applyFill="0" applyBorder="0" applyAlignment="0" applyProtection="0"/>
    <xf numFmtId="0" fontId="2" fillId="0" borderId="0"/>
    <xf numFmtId="0" fontId="2" fillId="0" borderId="0"/>
    <xf numFmtId="0" fontId="6" fillId="0" borderId="0"/>
    <xf numFmtId="0" fontId="3" fillId="0" borderId="0"/>
    <xf numFmtId="9" fontId="6" fillId="0" borderId="0" applyFill="0" applyBorder="0" applyAlignment="0" applyProtection="0"/>
    <xf numFmtId="9" fontId="6" fillId="0" borderId="0" applyFill="0" applyBorder="0" applyAlignment="0" applyProtection="0"/>
    <xf numFmtId="9" fontId="6" fillId="0" borderId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</cellStyleXfs>
  <cellXfs count="39">
    <xf numFmtId="0" fontId="0" fillId="0" borderId="0" xfId="0"/>
    <xf numFmtId="0" fontId="3" fillId="3" borderId="0" xfId="3" applyFont="1" applyFill="1"/>
    <xf numFmtId="0" fontId="3" fillId="3" borderId="0" xfId="3" applyFont="1" applyFill="1" applyAlignment="1">
      <alignment horizontal="left"/>
    </xf>
    <xf numFmtId="0" fontId="3" fillId="3" borderId="0" xfId="3" applyFont="1" applyFill="1" applyAlignment="1">
      <alignment horizontal="right"/>
    </xf>
    <xf numFmtId="0" fontId="4" fillId="3" borderId="3" xfId="0" applyFont="1" applyFill="1" applyBorder="1" applyAlignment="1">
      <alignment horizontal="center" vertical="top"/>
    </xf>
    <xf numFmtId="0" fontId="4" fillId="3" borderId="2" xfId="0" applyFont="1" applyFill="1" applyBorder="1" applyAlignment="1">
      <alignment horizontal="center" vertical="top"/>
    </xf>
    <xf numFmtId="0" fontId="4" fillId="3" borderId="3" xfId="3" applyFont="1" applyFill="1" applyBorder="1" applyAlignment="1">
      <alignment horizontal="center" vertical="top" wrapText="1"/>
    </xf>
    <xf numFmtId="0" fontId="3" fillId="2" borderId="4" xfId="3" applyFont="1" applyFill="1" applyBorder="1" applyAlignment="1">
      <alignment horizontal="left" vertical="top"/>
    </xf>
    <xf numFmtId="0" fontId="3" fillId="2" borderId="4" xfId="0" quotePrefix="1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center" vertical="center"/>
    </xf>
    <xf numFmtId="2" fontId="3" fillId="2" borderId="4" xfId="3" applyNumberFormat="1" applyFont="1" applyFill="1" applyBorder="1" applyAlignment="1">
      <alignment horizontal="center" vertical="center"/>
    </xf>
    <xf numFmtId="0" fontId="4" fillId="4" borderId="1" xfId="3" applyFont="1" applyFill="1" applyBorder="1"/>
    <xf numFmtId="2" fontId="3" fillId="4" borderId="1" xfId="3" applyNumberFormat="1" applyFont="1" applyFill="1" applyBorder="1" applyAlignment="1">
      <alignment horizontal="center"/>
    </xf>
    <xf numFmtId="9" fontId="3" fillId="4" borderId="1" xfId="7" applyFont="1" applyFill="1" applyBorder="1" applyAlignment="1" applyProtection="1">
      <alignment horizontal="left"/>
    </xf>
    <xf numFmtId="165" fontId="4" fillId="4" borderId="1" xfId="3" applyNumberFormat="1" applyFont="1" applyFill="1" applyBorder="1" applyAlignment="1">
      <alignment horizontal="center"/>
    </xf>
    <xf numFmtId="9" fontId="4" fillId="4" borderId="1" xfId="3" applyNumberFormat="1" applyFont="1" applyFill="1" applyBorder="1" applyAlignment="1">
      <alignment horizontal="left"/>
    </xf>
    <xf numFmtId="2" fontId="3" fillId="0" borderId="4" xfId="0" applyNumberFormat="1" applyFont="1" applyBorder="1" applyAlignment="1">
      <alignment horizontal="left" vertical="top" wrapText="1"/>
    </xf>
    <xf numFmtId="0" fontId="7" fillId="2" borderId="4" xfId="10" applyFill="1" applyBorder="1" applyAlignment="1">
      <alignment horizontal="left" vertical="top" wrapText="1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/>
    </xf>
    <xf numFmtId="0" fontId="0" fillId="5" borderId="4" xfId="0" applyFill="1" applyBorder="1" applyAlignment="1">
      <alignment horizontal="center" vertical="top"/>
    </xf>
    <xf numFmtId="0" fontId="0" fillId="5" borderId="4" xfId="0" applyFill="1" applyBorder="1" applyAlignment="1">
      <alignment horizontal="center" vertical="top" wrapText="1"/>
    </xf>
    <xf numFmtId="2" fontId="0" fillId="0" borderId="4" xfId="0" applyNumberForma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5" fillId="3" borderId="0" xfId="3" applyFont="1" applyFill="1" applyAlignment="1">
      <alignment horizontal="center" vertical="center"/>
    </xf>
    <xf numFmtId="0" fontId="9" fillId="2" borderId="4" xfId="0" quotePrefix="1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vertical="top"/>
    </xf>
    <xf numFmtId="0" fontId="3" fillId="3" borderId="0" xfId="3" applyFont="1" applyFill="1" applyAlignment="1">
      <alignment vertical="top"/>
    </xf>
    <xf numFmtId="0" fontId="3" fillId="3" borderId="0" xfId="3" applyFont="1" applyFill="1" applyAlignment="1">
      <alignment wrapText="1"/>
    </xf>
    <xf numFmtId="2" fontId="8" fillId="6" borderId="4" xfId="0" applyNumberFormat="1" applyFont="1" applyFill="1" applyBorder="1" applyAlignment="1">
      <alignment horizontal="center"/>
    </xf>
    <xf numFmtId="0" fontId="0" fillId="6" borderId="0" xfId="0" applyFill="1"/>
    <xf numFmtId="0" fontId="8" fillId="6" borderId="4" xfId="0" applyFont="1" applyFill="1" applyBorder="1" applyAlignment="1">
      <alignment horizontal="center" wrapText="1"/>
    </xf>
    <xf numFmtId="0" fontId="5" fillId="3" borderId="0" xfId="3" applyFont="1" applyFill="1" applyAlignment="1">
      <alignment horizontal="center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3" fillId="2" borderId="4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</cellXfs>
  <cellStyles count="12">
    <cellStyle name="Comma 2" xfId="1" xr:uid="{00000000-0005-0000-0000-000000000000}"/>
    <cellStyle name="Comma 3" xfId="2" xr:uid="{00000000-0005-0000-0000-000001000000}"/>
    <cellStyle name="Hyperlink" xfId="10" builtinId="8"/>
    <cellStyle name="Normal" xfId="0" builtinId="0"/>
    <cellStyle name="Normal 10" xfId="11" xr:uid="{00000000-0005-0000-0000-000004000000}"/>
    <cellStyle name="Normal 2" xfId="3" xr:uid="{00000000-0005-0000-0000-000005000000}"/>
    <cellStyle name="Normal 2 3" xfId="4" xr:uid="{00000000-0005-0000-0000-000006000000}"/>
    <cellStyle name="Normal 3" xfId="5" xr:uid="{00000000-0005-0000-0000-000007000000}"/>
    <cellStyle name="Normal 4" xfId="6" xr:uid="{00000000-0005-0000-0000-000008000000}"/>
    <cellStyle name="Percent" xfId="7" builtinId="5"/>
    <cellStyle name="Percent 2" xfId="8" xr:uid="{00000000-0005-0000-0000-00000A000000}"/>
    <cellStyle name="Percent 3" xfId="9" xr:uid="{00000000-0005-0000-0000-00000B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D3D3D"/>
    </indexed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scubetech.com/resources/c-programming/file-handling" TargetMode="External"/><Relationship Id="rId3" Type="http://schemas.openxmlformats.org/officeDocument/2006/relationships/hyperlink" Target="https://www.w3schools.blog/first-c-program" TargetMode="External"/><Relationship Id="rId7" Type="http://schemas.openxmlformats.org/officeDocument/2006/relationships/hyperlink" Target="https://www.wscubetech.com/resources/c-programming/arrays" TargetMode="External"/><Relationship Id="rId2" Type="http://schemas.openxmlformats.org/officeDocument/2006/relationships/hyperlink" Target="https://www.wscubetech.com/resources/c-programming/pointers" TargetMode="External"/><Relationship Id="rId1" Type="http://schemas.openxmlformats.org/officeDocument/2006/relationships/hyperlink" Target="https://www.wscubetech.com/resources/c-programming/basics" TargetMode="External"/><Relationship Id="rId6" Type="http://schemas.openxmlformats.org/officeDocument/2006/relationships/hyperlink" Target="https://www.wscubetech.com/resources/c-programming/functions" TargetMode="External"/><Relationship Id="rId5" Type="http://schemas.openxmlformats.org/officeDocument/2006/relationships/hyperlink" Target="https://www.wscubetech.com/resources/c-programming/control-statements" TargetMode="External"/><Relationship Id="rId4" Type="http://schemas.openxmlformats.org/officeDocument/2006/relationships/hyperlink" Target="https://www.w3schools.blog/c-pointer-to-pointe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5"/>
  <sheetViews>
    <sheetView showGridLines="0" view="pageBreakPreview" zoomScaleNormal="100" zoomScaleSheetLayoutView="100" workbookViewId="0">
      <selection activeCell="E12" sqref="E12"/>
    </sheetView>
  </sheetViews>
  <sheetFormatPr defaultRowHeight="12.75"/>
  <cols>
    <col min="3" max="3" width="17.85546875" customWidth="1"/>
    <col min="4" max="4" width="54.28515625" customWidth="1"/>
    <col min="5" max="5" width="12.5703125" customWidth="1"/>
    <col min="6" max="6" width="41.42578125" customWidth="1"/>
  </cols>
  <sheetData>
    <row r="3" spans="2:6" ht="25.5">
      <c r="B3" s="21" t="s">
        <v>0</v>
      </c>
      <c r="C3" s="21" t="s">
        <v>1</v>
      </c>
      <c r="D3" s="21" t="s">
        <v>2</v>
      </c>
      <c r="E3" s="22" t="s">
        <v>3</v>
      </c>
      <c r="F3" s="21" t="s">
        <v>4</v>
      </c>
    </row>
    <row r="4" spans="2:6">
      <c r="B4" s="24">
        <v>1</v>
      </c>
      <c r="C4" s="20" t="s">
        <v>5</v>
      </c>
      <c r="D4" s="19" t="s">
        <v>6</v>
      </c>
      <c r="E4" s="23">
        <f>SUM(C_Base!H20)</f>
        <v>8</v>
      </c>
      <c r="F4" s="18"/>
    </row>
    <row r="5" spans="2:6" ht="20.25">
      <c r="B5" s="32" t="s">
        <v>7</v>
      </c>
      <c r="C5" s="32"/>
      <c r="D5" s="32"/>
      <c r="E5" s="30">
        <f>SUM(E4:E4)/20</f>
        <v>0.4</v>
      </c>
      <c r="F5" s="31"/>
    </row>
  </sheetData>
  <mergeCells count="1">
    <mergeCell ref="B5:D5"/>
  </mergeCells>
  <phoneticPr fontId="11"/>
  <pageMargins left="0.7" right="0.7" top="0.75" bottom="0.75" header="0.3" footer="0.3"/>
  <pageSetup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D47B1-0D3A-480F-8F5E-091DC7B8C1D1}">
  <sheetPr>
    <pageSetUpPr fitToPage="1"/>
  </sheetPr>
  <dimension ref="A1:K20"/>
  <sheetViews>
    <sheetView tabSelected="1" zoomScaleNormal="100" zoomScaleSheetLayoutView="100" workbookViewId="0">
      <pane ySplit="2" topLeftCell="A10" activePane="bottomLeft" state="frozen"/>
      <selection pane="bottomLeft" activeCell="F11" sqref="F11"/>
    </sheetView>
  </sheetViews>
  <sheetFormatPr defaultColWidth="9" defaultRowHeight="12.75"/>
  <cols>
    <col min="1" max="1" width="25.28515625" style="1" bestFit="1" customWidth="1"/>
    <col min="2" max="2" width="12.140625" style="28" customWidth="1"/>
    <col min="3" max="3" width="11.140625" style="2" customWidth="1"/>
    <col min="4" max="4" width="14.7109375" style="1" customWidth="1"/>
    <col min="5" max="5" width="42.28515625" style="1" customWidth="1"/>
    <col min="6" max="6" width="18.28515625" style="1" customWidth="1"/>
    <col min="7" max="8" width="9.140625" style="3" customWidth="1"/>
    <col min="9" max="9" width="45.42578125" style="3" customWidth="1"/>
    <col min="10" max="10" width="40.5703125" style="1" hidden="1" customWidth="1"/>
    <col min="11" max="16384" width="9" style="1"/>
  </cols>
  <sheetData>
    <row r="1" spans="1:11" ht="36.75" customHeight="1">
      <c r="A1" s="33" t="s">
        <v>8</v>
      </c>
      <c r="B1" s="33"/>
      <c r="C1" s="33"/>
      <c r="D1" s="33"/>
      <c r="E1" s="33"/>
      <c r="F1" s="33"/>
      <c r="G1" s="33"/>
      <c r="H1" s="33"/>
      <c r="I1" s="33"/>
      <c r="J1" s="25"/>
    </row>
    <row r="2" spans="1:11" ht="39" customHeight="1">
      <c r="A2" s="4" t="s">
        <v>9</v>
      </c>
      <c r="B2" s="5" t="s">
        <v>10</v>
      </c>
      <c r="C2" s="6" t="s">
        <v>11</v>
      </c>
      <c r="D2" s="4" t="s">
        <v>12</v>
      </c>
      <c r="E2" s="4" t="s">
        <v>13</v>
      </c>
      <c r="F2" s="6" t="s">
        <v>14</v>
      </c>
      <c r="G2" s="6" t="s">
        <v>15</v>
      </c>
      <c r="H2" s="6" t="s">
        <v>16</v>
      </c>
      <c r="I2" s="6" t="s">
        <v>17</v>
      </c>
      <c r="J2" s="6" t="s">
        <v>17</v>
      </c>
    </row>
    <row r="3" spans="1:11" ht="145.15" customHeight="1">
      <c r="A3" s="34" t="s">
        <v>5</v>
      </c>
      <c r="B3" s="35" t="s">
        <v>18</v>
      </c>
      <c r="C3" s="7" t="s">
        <v>19</v>
      </c>
      <c r="D3" s="37" t="s">
        <v>20</v>
      </c>
      <c r="E3" s="8" t="s">
        <v>21</v>
      </c>
      <c r="F3" s="9" t="s">
        <v>22</v>
      </c>
      <c r="G3" s="10">
        <v>4</v>
      </c>
      <c r="H3" s="10" t="s">
        <v>23</v>
      </c>
      <c r="I3" s="17" t="s">
        <v>24</v>
      </c>
      <c r="J3" s="17" t="s">
        <v>25</v>
      </c>
      <c r="K3" s="29"/>
    </row>
    <row r="4" spans="1:11" ht="79.150000000000006" customHeight="1">
      <c r="A4" s="34"/>
      <c r="B4" s="36"/>
      <c r="C4" s="7" t="s">
        <v>26</v>
      </c>
      <c r="D4" s="38"/>
      <c r="E4" s="8" t="s">
        <v>27</v>
      </c>
      <c r="F4" s="9" t="s">
        <v>22</v>
      </c>
      <c r="G4" s="10">
        <v>4</v>
      </c>
      <c r="H4" s="10" t="s">
        <v>23</v>
      </c>
      <c r="I4" s="17" t="s">
        <v>28</v>
      </c>
      <c r="J4" s="17" t="s">
        <v>29</v>
      </c>
    </row>
    <row r="5" spans="1:11" ht="66" customHeight="1">
      <c r="A5" s="34"/>
      <c r="B5" s="35" t="s">
        <v>30</v>
      </c>
      <c r="C5" s="7" t="s">
        <v>31</v>
      </c>
      <c r="D5" s="38"/>
      <c r="E5" s="8" t="s">
        <v>32</v>
      </c>
      <c r="F5" s="9" t="s">
        <v>22</v>
      </c>
      <c r="G5" s="10">
        <v>4</v>
      </c>
      <c r="H5" s="10" t="s">
        <v>23</v>
      </c>
      <c r="I5" s="17" t="s">
        <v>33</v>
      </c>
      <c r="J5" s="17" t="s">
        <v>34</v>
      </c>
    </row>
    <row r="6" spans="1:11" ht="66" customHeight="1">
      <c r="A6" s="34"/>
      <c r="B6" s="36"/>
      <c r="C6" s="7" t="s">
        <v>35</v>
      </c>
      <c r="D6" s="38"/>
      <c r="E6" s="8" t="s">
        <v>36</v>
      </c>
      <c r="F6" s="9" t="s">
        <v>22</v>
      </c>
      <c r="G6" s="10">
        <v>4</v>
      </c>
      <c r="H6" s="10" t="s">
        <v>23</v>
      </c>
      <c r="I6" s="17" t="s">
        <v>37</v>
      </c>
      <c r="J6" s="17" t="s">
        <v>38</v>
      </c>
    </row>
    <row r="7" spans="1:11" ht="84.75" customHeight="1">
      <c r="A7" s="34"/>
      <c r="B7" s="35" t="s">
        <v>39</v>
      </c>
      <c r="C7" s="7" t="s">
        <v>40</v>
      </c>
      <c r="D7" s="38"/>
      <c r="E7" s="8" t="s">
        <v>41</v>
      </c>
      <c r="F7" s="9" t="s">
        <v>22</v>
      </c>
      <c r="G7" s="10">
        <v>4</v>
      </c>
      <c r="H7" s="10" t="s">
        <v>23</v>
      </c>
      <c r="I7" s="17" t="s">
        <v>42</v>
      </c>
      <c r="J7" s="17" t="s">
        <v>43</v>
      </c>
    </row>
    <row r="8" spans="1:11" ht="63.75" customHeight="1">
      <c r="A8" s="34"/>
      <c r="B8" s="36"/>
      <c r="C8" s="7" t="s">
        <v>44</v>
      </c>
      <c r="D8" s="38"/>
      <c r="E8" s="26" t="s">
        <v>45</v>
      </c>
      <c r="F8" s="9" t="s">
        <v>22</v>
      </c>
      <c r="G8" s="10">
        <v>4</v>
      </c>
      <c r="H8" s="10" t="s">
        <v>23</v>
      </c>
      <c r="I8" s="17" t="s">
        <v>46</v>
      </c>
      <c r="J8" s="17" t="s">
        <v>46</v>
      </c>
    </row>
    <row r="9" spans="1:11" ht="84">
      <c r="A9" s="34"/>
      <c r="B9" s="27" t="s">
        <v>47</v>
      </c>
      <c r="C9" s="7" t="s">
        <v>48</v>
      </c>
      <c r="D9" s="38"/>
      <c r="E9" s="26" t="s">
        <v>49</v>
      </c>
      <c r="F9" s="9" t="s">
        <v>22</v>
      </c>
      <c r="G9" s="10">
        <v>6</v>
      </c>
      <c r="H9" s="10" t="s">
        <v>23</v>
      </c>
      <c r="I9" s="17" t="s">
        <v>50</v>
      </c>
      <c r="J9" s="17" t="s">
        <v>51</v>
      </c>
    </row>
    <row r="10" spans="1:11" ht="118.5">
      <c r="A10" s="34"/>
      <c r="B10" s="27" t="s">
        <v>52</v>
      </c>
      <c r="C10" s="7" t="s">
        <v>53</v>
      </c>
      <c r="D10" s="38"/>
      <c r="E10" s="26" t="s">
        <v>54</v>
      </c>
      <c r="F10" s="9" t="s">
        <v>22</v>
      </c>
      <c r="G10" s="10">
        <v>4</v>
      </c>
      <c r="H10" s="10" t="s">
        <v>23</v>
      </c>
      <c r="I10" s="17" t="s">
        <v>55</v>
      </c>
      <c r="J10" s="17" t="s">
        <v>56</v>
      </c>
    </row>
    <row r="11" spans="1:11">
      <c r="A11" s="34"/>
      <c r="B11" s="27" t="s">
        <v>57</v>
      </c>
      <c r="C11" s="7"/>
      <c r="D11" s="38"/>
      <c r="E11" s="26" t="s">
        <v>58</v>
      </c>
      <c r="F11" s="9" t="s">
        <v>59</v>
      </c>
      <c r="G11" s="10">
        <v>30</v>
      </c>
      <c r="H11" s="10" t="s">
        <v>23</v>
      </c>
      <c r="I11" s="16" t="s">
        <v>60</v>
      </c>
      <c r="J11" s="16" t="s">
        <v>60</v>
      </c>
    </row>
    <row r="12" spans="1:11">
      <c r="J12" s="3"/>
    </row>
    <row r="13" spans="1:11">
      <c r="G13" s="3" t="s">
        <v>61</v>
      </c>
      <c r="H13" s="3" t="s">
        <v>10</v>
      </c>
      <c r="J13" s="3"/>
    </row>
    <row r="14" spans="1:11">
      <c r="F14" s="11" t="s">
        <v>22</v>
      </c>
      <c r="G14" s="12">
        <f>SUMIF(F$3:F$11,F14,G$3:G$11)</f>
        <v>34</v>
      </c>
      <c r="H14" s="12">
        <f>G14/8</f>
        <v>4.25</v>
      </c>
      <c r="I14" s="13"/>
      <c r="J14" s="13"/>
    </row>
    <row r="15" spans="1:11">
      <c r="F15" s="11" t="s">
        <v>59</v>
      </c>
      <c r="G15" s="12">
        <f>SUMIF(F$3:F$11,F15,G$3:G$11)</f>
        <v>30</v>
      </c>
      <c r="H15" s="12">
        <f t="shared" ref="H15:H20" si="0">G15/8</f>
        <v>3.75</v>
      </c>
      <c r="I15" s="13"/>
      <c r="J15" s="13"/>
    </row>
    <row r="16" spans="1:11">
      <c r="F16" s="11" t="s">
        <v>62</v>
      </c>
      <c r="G16" s="12">
        <f>SUMIF(F$3:F$11,F16,G$3:G$11)</f>
        <v>0</v>
      </c>
      <c r="H16" s="12">
        <f t="shared" si="0"/>
        <v>0</v>
      </c>
      <c r="I16" s="13"/>
      <c r="J16" s="13"/>
    </row>
    <row r="17" spans="6:10">
      <c r="F17" s="11" t="s">
        <v>63</v>
      </c>
      <c r="G17" s="12">
        <f>SUMIF(F$3:F$11,F17,G$3:G$11)</f>
        <v>0</v>
      </c>
      <c r="H17" s="12">
        <f t="shared" si="0"/>
        <v>0</v>
      </c>
      <c r="I17" s="13"/>
      <c r="J17" s="13"/>
    </row>
    <row r="18" spans="6:10">
      <c r="F18" s="11" t="s">
        <v>64</v>
      </c>
      <c r="G18" s="12">
        <f>SUMIF(F$3:F$11,F18,G$3:G$11)</f>
        <v>0</v>
      </c>
      <c r="H18" s="12">
        <f t="shared" si="0"/>
        <v>0</v>
      </c>
      <c r="I18" s="13"/>
      <c r="J18" s="13"/>
    </row>
    <row r="19" spans="6:10">
      <c r="F19" s="11" t="s">
        <v>65</v>
      </c>
      <c r="G19" s="12">
        <f>SUMIF(F$3:F$11,F19,G$3:G$11)</f>
        <v>0</v>
      </c>
      <c r="H19" s="12">
        <f t="shared" si="0"/>
        <v>0</v>
      </c>
      <c r="I19" s="13"/>
      <c r="J19" s="13"/>
    </row>
    <row r="20" spans="6:10">
      <c r="F20" s="11" t="s">
        <v>66</v>
      </c>
      <c r="G20" s="14">
        <f>SUM(G14:G19)</f>
        <v>64</v>
      </c>
      <c r="H20" s="12">
        <f t="shared" si="0"/>
        <v>8</v>
      </c>
      <c r="I20" s="15"/>
      <c r="J20" s="15"/>
    </row>
  </sheetData>
  <sheetProtection selectLockedCells="1" selectUnlockedCells="1"/>
  <autoFilter ref="A2:I11" xr:uid="{00000000-0009-0000-0000-000002000000}"/>
  <mergeCells count="6">
    <mergeCell ref="A1:I1"/>
    <mergeCell ref="A3:A11"/>
    <mergeCell ref="B3:B4"/>
    <mergeCell ref="D3:D11"/>
    <mergeCell ref="B5:B6"/>
    <mergeCell ref="B7:B8"/>
  </mergeCells>
  <phoneticPr fontId="11"/>
  <dataValidations count="1">
    <dataValidation type="list" allowBlank="1" showErrorMessage="1" sqref="F3:F11" xr:uid="{42D604E4-084E-4581-97F6-8613AC8BB924}">
      <formula1>"Concept/Lecture,Assignment/Lab,Test/Quiz,Exam,Guides/Review,Seminar/Workshop,Class Meeting"</formula1>
      <formula2>0</formula2>
    </dataValidation>
  </dataValidations>
  <hyperlinks>
    <hyperlink ref="I3" r:id="rId1" display="https://www.wscubetech.com/resources/c-programming/basics" xr:uid="{5CC580DC-4EF1-43EF-BB92-F52EDB0C0A64}"/>
    <hyperlink ref="I9" r:id="rId2" xr:uid="{F580FEDD-012B-41DB-8033-D18A3F38303F}"/>
    <hyperlink ref="J3" r:id="rId3" display="https://www.w3schools.blog/first-c-program" xr:uid="{C22ACA94-5EE0-49ED-8FCD-785435D34CB2}"/>
    <hyperlink ref="J9" r:id="rId4" display="https://www.w3schools.blog/c-pointer-to-pointer" xr:uid="{6E12B3EC-5CD6-483F-92EC-683F1F7F9FEB}"/>
    <hyperlink ref="I5" r:id="rId5" xr:uid="{70FCE23F-6A01-4DEF-8025-2C0180197106}"/>
    <hyperlink ref="I6" r:id="rId6" xr:uid="{FD568BD0-22CD-4142-BE98-F959C2E971CA}"/>
    <hyperlink ref="I7" r:id="rId7" xr:uid="{48DDE35A-5D9A-4B73-9E94-9EE25899902B}"/>
    <hyperlink ref="I10" r:id="rId8" display="https://www.wscubetech.com/resources/c-programming/file-handling" xr:uid="{4CDAA99F-C3EF-4C5D-B27F-13A5E5D85587}"/>
  </hyperlinks>
  <pageMargins left="0.44027777777777777" right="0.70833333333333337" top="0.47013888888888888" bottom="0.55000000000000004" header="0.51181102362204722" footer="0.31527777777777777"/>
  <pageSetup paperSize="9" scale="37" firstPageNumber="0" fitToHeight="2" orientation="landscape" horizontalDpi="300" verticalDpi="300"/>
  <headerFooter alignWithMargins="0">
    <oddFooter>&amp;L18e-BM/DT/FSOFT v1/1&amp;CInternal use&amp;R&amp;P/&amp;N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Pham Huu Khang (CTC.TOD.SG)</dc:creator>
  <cp:keywords/>
  <dc:description/>
  <cp:lastModifiedBy>Sen Nguyen Anh</cp:lastModifiedBy>
  <cp:revision/>
  <dcterms:created xsi:type="dcterms:W3CDTF">2023-07-14T03:04:52Z</dcterms:created>
  <dcterms:modified xsi:type="dcterms:W3CDTF">2026-03-10T01:39:00Z</dcterms:modified>
  <cp:category/>
  <cp:contentStatus/>
</cp:coreProperties>
</file>